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Budget" sheetId="3" state="visible" r:id="rId3"/>
  </sheets>
  <definedNames/>
  <calcPr calcId="124519" fullCalcOnLoad="1"/>
</workbook>
</file>

<file path=xl/styles.xml><?xml version="1.0" encoding="utf-8"?>
<styleSheet xmlns="http://schemas.openxmlformats.org/spreadsheetml/2006/main">
  <numFmts count="1">
    <numFmt numFmtId="164" formatCode="&quot;₱&quot;#,##0;(&quot;₱&quot;#,##0);&quot;-&quot;"/>
  </numFmts>
  <fonts count="10">
    <font>
      <name val="Calibri"/>
      <family val="2"/>
      <color theme="1"/>
      <sz val="11"/>
      <scheme val="minor"/>
    </font>
    <font>
      <name val="Arial"/>
      <b val="1"/>
      <sz val="14"/>
    </font>
    <font>
      <name val="Arial"/>
    </font>
    <font>
      <name val="Arial"/>
      <b val="1"/>
    </font>
    <font>
      <name val="Arial"/>
      <b val="1"/>
      <color rgb="00FFFFFF"/>
    </font>
    <font>
      <name val="Arial"/>
      <color rgb="000000FF"/>
    </font>
    <font>
      <name val="Arial"/>
      <color rgb="00808080"/>
    </font>
    <font>
      <name val="Arial"/>
      <i val="1"/>
      <color rgb="00808080"/>
    </font>
    <font>
      <name val="Arial"/>
      <color rgb="00008000"/>
    </font>
    <font>
      <name val="Arial"/>
      <b val="1"/>
      <sz val="12"/>
    </font>
  </fonts>
  <fills count="6">
    <fill>
      <patternFill/>
    </fill>
    <fill>
      <patternFill patternType="gray125"/>
    </fill>
    <fill>
      <patternFill patternType="solid">
        <fgColor rgb="00FFF2CC"/>
      </patternFill>
    </fill>
    <fill>
      <patternFill patternType="solid">
        <fgColor rgb="00E2EFDA"/>
      </patternFill>
    </fill>
    <fill>
      <patternFill patternType="solid">
        <fgColor rgb="001F4E5A"/>
      </patternFill>
    </fill>
    <fill>
      <patternFill patternType="solid">
        <fgColor rgb="00DCE9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2" fillId="3" borderId="0" pivotButton="0" quotePrefix="0" xfId="0"/>
    <xf numFmtId="9" fontId="5" fillId="2" borderId="0" pivotButton="0" quotePrefix="0" xfId="0"/>
    <xf numFmtId="0" fontId="7" fillId="0" borderId="0" pivotButton="0" quotePrefix="0" xfId="0"/>
    <xf numFmtId="0" fontId="4" fillId="4" borderId="1" pivotButton="0" quotePrefix="0" xfId="0"/>
    <xf numFmtId="0" fontId="2" fillId="0" borderId="1" pivotButton="0" quotePrefix="0" xfId="0"/>
    <xf numFmtId="164" fontId="8" fillId="0" borderId="1" pivotButton="0" quotePrefix="0" xfId="0"/>
    <xf numFmtId="0" fontId="3" fillId="0" borderId="1" pivotButton="0" quotePrefix="0" xfId="0"/>
    <xf numFmtId="164" fontId="3" fillId="0" borderId="1" pivotButton="0" quotePrefix="0" xfId="0"/>
    <xf numFmtId="164" fontId="2" fillId="0" borderId="1" pivotButton="0" quotePrefix="0" xfId="0"/>
    <xf numFmtId="0" fontId="0" fillId="0" borderId="1" pivotButton="0" quotePrefix="0" xfId="0"/>
    <xf numFmtId="0" fontId="9" fillId="0" borderId="1" pivotButton="0" quotePrefix="0" xfId="0"/>
    <xf numFmtId="164" fontId="9" fillId="5" borderId="1" pivotButton="0" quotePrefix="0" xfId="0"/>
    <xf numFmtId="0" fontId="4" fillId="4" borderId="1" applyAlignment="1" pivotButton="0" quotePrefix="0" xfId="0">
      <alignment vertical="center" wrapText="1"/>
    </xf>
    <xf numFmtId="0" fontId="3" fillId="5" borderId="1" pivotButton="0" quotePrefix="0" xfId="0"/>
    <xf numFmtId="0" fontId="0" fillId="5" borderId="1" pivotButton="0" quotePrefix="0" xfId="0"/>
    <xf numFmtId="0" fontId="6" fillId="0" borderId="1" applyAlignment="1" pivotButton="0" quotePrefix="0" xfId="0">
      <alignment vertical="top" wrapText="1"/>
    </xf>
    <xf numFmtId="0" fontId="2" fillId="0" borderId="1" applyAlignment="1" pivotButton="0" quotePrefix="0" xfId="0">
      <alignment vertical="top" wrapText="1"/>
    </xf>
    <xf numFmtId="0" fontId="5" fillId="2" borderId="1" applyAlignment="1" pivotButton="0" quotePrefix="0" xfId="0">
      <alignment vertical="top" wrapText="1"/>
    </xf>
    <xf numFmtId="164" fontId="5" fillId="2" borderId="1" applyAlignment="1" pivotButton="0" quotePrefix="0" xfId="0">
      <alignment vertical="top" wrapText="1"/>
    </xf>
    <xf numFmtId="164" fontId="2"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2" fillId="3" borderId="1" applyAlignment="1" pivotButton="0" quotePrefix="0" xfId="0">
      <alignment vertical="top" wrapText="1"/>
    </xf>
    <xf numFmtId="0" fontId="5" fillId="3" borderId="1" applyAlignment="1" pivotButton="0" quotePrefix="0" xfId="0">
      <alignment vertical="top" wrapText="1"/>
    </xf>
    <xf numFmtId="164" fontId="5" fillId="3" borderId="1" applyAlignment="1" pivotButton="0" quotePrefix="0" xfId="0">
      <alignment vertical="top" wrapText="1"/>
    </xf>
    <xf numFmtId="164" fontId="2" fillId="3" borderId="1" applyAlignment="1" pivotButton="0" quotePrefix="0" xfId="0">
      <alignment vertical="top" wrapText="1"/>
    </xf>
    <xf numFmtId="0" fontId="5" fillId="2" borderId="1" pivotButton="0" quotePrefix="0" xfId="0"/>
    <xf numFmtId="164" fontId="5" fillId="2"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VITAL</author>
  </authors>
  <commentList>
    <comment ref="F1" authorId="0" shapeId="0">
      <text>
        <t>Price per unit in pesos. Get it from a quote or pricing page and note where in 'Source'.</t>
      </text>
    </comment>
    <comment ref="G1" authorId="0" shapeId="0">
      <text>
        <t>Number of months for recurring costs. Leave blank for one-time costs (counts as 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VITAL Pilot - Budget Worksheet</t>
        </is>
      </c>
    </row>
    <row r="2">
      <c r="A2" s="2" t="inlineStr"/>
    </row>
    <row r="3">
      <c r="A3" s="2" t="inlineStr">
        <is>
          <t>Purpose: build the budget bottom-up from real quotes, then let the total be whatever it adds up to.</t>
        </is>
      </c>
    </row>
    <row r="4">
      <c r="A4" s="2" t="inlineStr"/>
    </row>
    <row r="5">
      <c r="A5" s="3" t="inlineStr">
        <is>
          <t>Steps</t>
        </is>
      </c>
    </row>
    <row r="6">
      <c r="A6" s="2" t="inlineStr">
        <is>
          <t>1. Go to the 'Budget' tab. For each line, fill in the yellow cells: Unit, Qty, Unit Cost, Months, Status, Tier, Source.</t>
        </is>
      </c>
    </row>
    <row r="7">
      <c r="A7" s="2" t="inlineStr">
        <is>
          <t>2. Total is calculated automatically: Qty x Unit Cost x Months (leave Months blank for one-time costs).</t>
        </is>
      </c>
    </row>
    <row r="8">
      <c r="A8" s="2" t="inlineStr">
        <is>
          <t>3. Status: Needed = goes in the budget | Later = after the pilot | In-kind = team covers it, no grant money | Not needed.</t>
        </is>
      </c>
    </row>
    <row r="9">
      <c r="A9" s="2" t="inlineStr">
        <is>
          <t>4. Tier: Minimum = part of the smallest pilot that still proves the idea | Full = only in the ideal version.</t>
        </is>
      </c>
    </row>
    <row r="10">
      <c r="A10" s="2" t="inlineStr">
        <is>
          <t>5. Source: write where the number came from (e.g., 'Quote from ___, Oct 2026' or 'Provider pricing page'). Don't leave it blank.</t>
        </is>
      </c>
    </row>
    <row r="11">
      <c r="A11" s="2" t="inlineStr">
        <is>
          <t>6. Need more lines? Use the 'Other (add your own)' rows at the bottom. Keep the Category text exactly as an existing category name, or the line won't be counted on the Summary tab.</t>
        </is>
      </c>
    </row>
    <row r="12">
      <c r="A12" s="2" t="inlineStr">
        <is>
          <t>7. The 'Summary' tab shows totals per category, contingency, and Minimum vs Full pilot totals.</t>
        </is>
      </c>
    </row>
    <row r="13">
      <c r="A13" s="2" t="inlineStr"/>
    </row>
    <row r="14">
      <c r="A14" s="3" t="inlineStr">
        <is>
          <t>Legend</t>
        </is>
      </c>
    </row>
    <row r="15">
      <c r="A15" s="4" t="inlineStr">
        <is>
          <t>Yellow cells = inputs to fill in</t>
        </is>
      </c>
    </row>
    <row r="16">
      <c r="A16" s="5" t="inlineStr">
        <is>
          <t>Green row = example only (pilot travel). Replace it with your real numbers.</t>
        </is>
      </c>
    </row>
    <row r="17">
      <c r="A17" s="2" t="inlineStr">
        <is>
          <t>Blue text = typed-in values | Black text = formulas (don't edit) | Green text on Summary = pulled from Budget tab</t>
        </is>
      </c>
    </row>
    <row r="18">
      <c r="A18" s="2" t="inlineStr"/>
    </row>
    <row r="19">
      <c r="A19" s="3" t="inlineStr">
        <is>
          <t>Before finalizing</t>
        </is>
      </c>
    </row>
    <row r="20">
      <c r="A20" s="2" t="inlineStr">
        <is>
          <t>- Check the funding program's guidelines: maximum amount, allowable expenses, and whether equipment/hardware is allowed.</t>
        </is>
      </c>
    </row>
    <row r="21">
      <c r="A21" s="2" t="inlineStr">
        <is>
          <t>- Hosting should be Philippine-hosted cloud (data stays in-country), not a self-built server.</t>
        </is>
      </c>
    </row>
    <row r="22">
      <c r="A22" s="2" t="inlineStr">
        <is>
          <t>- Every 'Needed' line should have a Source (Summary tab counts the missing 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VITAL Pilot - Budget Summary</t>
        </is>
      </c>
    </row>
    <row r="3">
      <c r="A3" s="3" t="inlineStr">
        <is>
          <t>Contingency (% of subtotal)</t>
        </is>
      </c>
      <c r="B3" s="6" t="n">
        <v>0.1</v>
      </c>
      <c r="C3" s="7" t="inlineStr">
        <is>
          <t>Usually 5-10%</t>
        </is>
      </c>
    </row>
    <row r="5">
      <c r="A5" s="8" t="inlineStr">
        <is>
          <t>Category</t>
        </is>
      </c>
      <c r="B5" s="8" t="inlineStr">
        <is>
          <t>Minimum pilot</t>
        </is>
      </c>
      <c r="C5" s="8" t="inlineStr">
        <is>
          <t>Full pilot</t>
        </is>
      </c>
      <c r="D5" s="8" t="inlineStr">
        <is>
          <t>In-kind (team covers)</t>
        </is>
      </c>
    </row>
    <row r="6">
      <c r="A6" s="9" t="inlineStr">
        <is>
          <t>Development</t>
        </is>
      </c>
      <c r="B6" s="10">
        <f>SUMIFS(Budget!$H$2:$H$500,Budget!$A$2:$A$500,$A6,Budget!$I$2:$I$500,"Needed",Budget!$J$2:$J$500,"Minimum")</f>
        <v/>
      </c>
      <c r="C6" s="10">
        <f>SUMIFS(Budget!$H$2:$H$500,Budget!$A$2:$A$500,$A6,Budget!$I$2:$I$500,"Needed")</f>
        <v/>
      </c>
      <c r="D6" s="10">
        <f>SUMIFS(Budget!$H$2:$H$500,Budget!$A$2:$A$500,$A6,Budget!$I$2:$I$500,"In-kind")</f>
        <v/>
      </c>
    </row>
    <row r="7">
      <c r="A7" s="9" t="inlineStr">
        <is>
          <t>Hosting &amp; infrastructure</t>
        </is>
      </c>
      <c r="B7" s="10">
        <f>SUMIFS(Budget!$H$2:$H$500,Budget!$A$2:$A$500,$A7,Budget!$I$2:$I$500,"Needed",Budget!$J$2:$J$500,"Minimum")</f>
        <v/>
      </c>
      <c r="C7" s="10">
        <f>SUMIFS(Budget!$H$2:$H$500,Budget!$A$2:$A$500,$A7,Budget!$I$2:$I$500,"Needed")</f>
        <v/>
      </c>
      <c r="D7" s="10">
        <f>SUMIFS(Budget!$H$2:$H$500,Budget!$A$2:$A$500,$A7,Budget!$I$2:$I$500,"In-kind")</f>
        <v/>
      </c>
    </row>
    <row r="8">
      <c r="A8" s="9" t="inlineStr">
        <is>
          <t>Services &amp; subscriptions</t>
        </is>
      </c>
      <c r="B8" s="10">
        <f>SUMIFS(Budget!$H$2:$H$500,Budget!$A$2:$A$500,$A8,Budget!$I$2:$I$500,"Needed",Budget!$J$2:$J$500,"Minimum")</f>
        <v/>
      </c>
      <c r="C8" s="10">
        <f>SUMIFS(Budget!$H$2:$H$500,Budget!$A$2:$A$500,$A8,Budget!$I$2:$I$500,"Needed")</f>
        <v/>
      </c>
      <c r="D8" s="10">
        <f>SUMIFS(Budget!$H$2:$H$500,Budget!$A$2:$A$500,$A8,Budget!$I$2:$I$500,"In-kind")</f>
        <v/>
      </c>
    </row>
    <row r="9">
      <c r="A9" s="9" t="inlineStr">
        <is>
          <t>Security</t>
        </is>
      </c>
      <c r="B9" s="10">
        <f>SUMIFS(Budget!$H$2:$H$500,Budget!$A$2:$A$500,$A9,Budget!$I$2:$I$500,"Needed",Budget!$J$2:$J$500,"Minimum")</f>
        <v/>
      </c>
      <c r="C9" s="10">
        <f>SUMIFS(Budget!$H$2:$H$500,Budget!$A$2:$A$500,$A9,Budget!$I$2:$I$500,"Needed")</f>
        <v/>
      </c>
      <c r="D9" s="10">
        <f>SUMIFS(Budget!$H$2:$H$500,Budget!$A$2:$A$500,$A9,Budget!$I$2:$I$500,"In-kind")</f>
        <v/>
      </c>
    </row>
    <row r="10">
      <c r="A10" s="9" t="inlineStr">
        <is>
          <t>Legal &amp; privacy</t>
        </is>
      </c>
      <c r="B10" s="10">
        <f>SUMIFS(Budget!$H$2:$H$500,Budget!$A$2:$A$500,$A10,Budget!$I$2:$I$500,"Needed",Budget!$J$2:$J$500,"Minimum")</f>
        <v/>
      </c>
      <c r="C10" s="10">
        <f>SUMIFS(Budget!$H$2:$H$500,Budget!$A$2:$A$500,$A10,Budget!$I$2:$I$500,"Needed")</f>
        <v/>
      </c>
      <c r="D10" s="10">
        <f>SUMIFS(Budget!$H$2:$H$500,Budget!$A$2:$A$500,$A10,Budget!$I$2:$I$500,"In-kind")</f>
        <v/>
      </c>
    </row>
    <row r="11">
      <c r="A11" s="9" t="inlineStr">
        <is>
          <t>Pilot operations (Bohol)</t>
        </is>
      </c>
      <c r="B11" s="10">
        <f>SUMIFS(Budget!$H$2:$H$500,Budget!$A$2:$A$500,$A11,Budget!$I$2:$I$500,"Needed",Budget!$J$2:$J$500,"Minimum")</f>
        <v/>
      </c>
      <c r="C11" s="10">
        <f>SUMIFS(Budget!$H$2:$H$500,Budget!$A$2:$A$500,$A11,Budget!$I$2:$I$500,"Needed")</f>
        <v/>
      </c>
      <c r="D11" s="10">
        <f>SUMIFS(Budget!$H$2:$H$500,Budget!$A$2:$A$500,$A11,Budget!$I$2:$I$500,"In-kind")</f>
        <v/>
      </c>
    </row>
    <row r="12">
      <c r="A12" s="9" t="inlineStr">
        <is>
          <t>Support &amp; maintenance</t>
        </is>
      </c>
      <c r="B12" s="10">
        <f>SUMIFS(Budget!$H$2:$H$500,Budget!$A$2:$A$500,$A12,Budget!$I$2:$I$500,"Needed",Budget!$J$2:$J$500,"Minimum")</f>
        <v/>
      </c>
      <c r="C12" s="10">
        <f>SUMIFS(Budget!$H$2:$H$500,Budget!$A$2:$A$500,$A12,Budget!$I$2:$I$500,"Needed")</f>
        <v/>
      </c>
      <c r="D12" s="10">
        <f>SUMIFS(Budget!$H$2:$H$500,Budget!$A$2:$A$500,$A12,Budget!$I$2:$I$500,"In-kind")</f>
        <v/>
      </c>
    </row>
    <row r="13">
      <c r="A13" s="9" t="inlineStr">
        <is>
          <t>Monitoring &amp; evaluation</t>
        </is>
      </c>
      <c r="B13" s="10">
        <f>SUMIFS(Budget!$H$2:$H$500,Budget!$A$2:$A$500,$A13,Budget!$I$2:$I$500,"Needed",Budget!$J$2:$J$500,"Minimum")</f>
        <v/>
      </c>
      <c r="C13" s="10">
        <f>SUMIFS(Budget!$H$2:$H$500,Budget!$A$2:$A$500,$A13,Budget!$I$2:$I$500,"Needed")</f>
        <v/>
      </c>
      <c r="D13" s="10">
        <f>SUMIFS(Budget!$H$2:$H$500,Budget!$A$2:$A$500,$A13,Budget!$I$2:$I$500,"In-kind")</f>
        <v/>
      </c>
    </row>
    <row r="14">
      <c r="A14" s="9" t="inlineStr">
        <is>
          <t>Other (add your own)</t>
        </is>
      </c>
      <c r="B14" s="10">
        <f>SUMIFS(Budget!$H$2:$H$500,Budget!$A$2:$A$500,$A14,Budget!$I$2:$I$500,"Needed",Budget!$J$2:$J$500,"Minimum")</f>
        <v/>
      </c>
      <c r="C14" s="10">
        <f>SUMIFS(Budget!$H$2:$H$500,Budget!$A$2:$A$500,$A14,Budget!$I$2:$I$500,"Needed")</f>
        <v/>
      </c>
      <c r="D14" s="10">
        <f>SUMIFS(Budget!$H$2:$H$500,Budget!$A$2:$A$500,$A14,Budget!$I$2:$I$500,"In-kind")</f>
        <v/>
      </c>
    </row>
    <row r="15">
      <c r="A15" s="11" t="inlineStr">
        <is>
          <t>Subtotal</t>
        </is>
      </c>
      <c r="B15" s="12">
        <f>SUM(B6:B14)</f>
        <v/>
      </c>
      <c r="C15" s="12">
        <f>SUM(C6:C14)</f>
        <v/>
      </c>
      <c r="D15" s="12">
        <f>SUM(D6:D14)</f>
        <v/>
      </c>
    </row>
    <row r="16">
      <c r="A16" s="9" t="inlineStr">
        <is>
          <t>Contingency</t>
        </is>
      </c>
      <c r="B16" s="13">
        <f>B15*$B$3</f>
        <v/>
      </c>
      <c r="C16" s="13">
        <f>C15*$B$3</f>
        <v/>
      </c>
      <c r="D16" s="14" t="n"/>
    </row>
    <row r="17">
      <c r="A17" s="15" t="inlineStr">
        <is>
          <t>TOTAL REQUEST</t>
        </is>
      </c>
      <c r="B17" s="16">
        <f>B15+B16</f>
        <v/>
      </c>
      <c r="C17" s="16">
        <f>C15+C16</f>
        <v/>
      </c>
      <c r="D17" s="14" t="n"/>
    </row>
    <row r="19">
      <c r="A19" s="7" t="inlineStr">
        <is>
          <t>Minimum pilot = 'Needed' items tagged Minimum. Full pilot = all 'Needed' items. In-kind is shown for the proposal narrative, not requested.</t>
        </is>
      </c>
    </row>
    <row r="20">
      <c r="A20" s="3" t="inlineStr">
        <is>
          <t>'Needed' lines still missing a Source:</t>
        </is>
      </c>
      <c r="B20" s="2">
        <f>COUNTIFS(Budget!$I$2:$I$500,"Needed",Budget!$K$2:$K$500,"")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4" customWidth="1" min="2" max="2"/>
    <col width="52" customWidth="1" min="3" max="3"/>
    <col width="12" customWidth="1" min="4" max="4"/>
    <col width="8" customWidth="1" min="5" max="5"/>
    <col width="16" customWidth="1" min="6" max="6"/>
    <col width="9" customWidth="1" min="7" max="7"/>
    <col width="16" customWidth="1" min="8" max="8"/>
    <col width="12" customWidth="1" min="9" max="9"/>
    <col width="11" customWidth="1" min="10" max="10"/>
    <col width="34" customWidth="1" min="11" max="11"/>
    <col width="30" customWidth="1" min="12" max="12"/>
  </cols>
  <sheetData>
    <row r="1">
      <c r="A1" s="17" t="inlineStr">
        <is>
          <t>Category</t>
        </is>
      </c>
      <c r="B1" s="17" t="inlineStr">
        <is>
          <t>Item</t>
        </is>
      </c>
      <c r="C1" s="17" t="inlineStr">
        <is>
          <t>What it covers / purpose</t>
        </is>
      </c>
      <c r="D1" s="17" t="inlineStr">
        <is>
          <t>Unit</t>
        </is>
      </c>
      <c r="E1" s="17" t="inlineStr">
        <is>
          <t>Qty</t>
        </is>
      </c>
      <c r="F1" s="17" t="inlineStr">
        <is>
          <t>Unit Cost (PHP)</t>
        </is>
      </c>
      <c r="G1" s="17" t="inlineStr">
        <is>
          <t>Months</t>
        </is>
      </c>
      <c r="H1" s="17" t="inlineStr">
        <is>
          <t>Total (PHP)</t>
        </is>
      </c>
      <c r="I1" s="17" t="inlineStr">
        <is>
          <t>Status</t>
        </is>
      </c>
      <c r="J1" s="17" t="inlineStr">
        <is>
          <t>Tier</t>
        </is>
      </c>
      <c r="K1" s="17" t="inlineStr">
        <is>
          <t>Source / quote</t>
        </is>
      </c>
      <c r="L1" s="17" t="inlineStr">
        <is>
          <t>Notes</t>
        </is>
      </c>
    </row>
    <row r="2">
      <c r="A2" s="18" t="inlineStr">
        <is>
          <t>Development</t>
        </is>
      </c>
      <c r="B2" s="19" t="n"/>
      <c r="C2" s="19" t="n"/>
      <c r="D2" s="19" t="n"/>
      <c r="E2" s="19" t="n"/>
      <c r="F2" s="19" t="n"/>
      <c r="G2" s="19" t="n"/>
      <c r="H2" s="19" t="n"/>
      <c r="I2" s="19" t="n"/>
      <c r="J2" s="19" t="n"/>
      <c r="K2" s="19" t="n"/>
      <c r="L2" s="19" t="n"/>
    </row>
    <row r="3">
      <c r="A3" s="20" t="inlineStr">
        <is>
          <t>Development</t>
        </is>
      </c>
      <c r="B3" s="21" t="inlineStr">
        <is>
          <t>Patient app</t>
        </is>
      </c>
      <c r="C3" s="21" t="inlineStr">
        <is>
          <t>Referral status, appointment booking, viewing lab results</t>
        </is>
      </c>
      <c r="D3" s="22" t="inlineStr">
        <is>
          <t>lot</t>
        </is>
      </c>
      <c r="E3" s="22" t="n"/>
      <c r="F3" s="23" t="n"/>
      <c r="G3" s="22" t="n"/>
      <c r="H3" s="24">
        <f>IF(OR(E3="",F3=""),0,E3*F3*IF(G3="",1,G3))</f>
        <v/>
      </c>
      <c r="I3" s="22" t="inlineStr">
        <is>
          <t>Needed</t>
        </is>
      </c>
      <c r="J3" s="22" t="inlineStr">
        <is>
          <t>Minimum</t>
        </is>
      </c>
      <c r="K3" s="22" t="n"/>
      <c r="L3" s="25" t="n"/>
    </row>
    <row r="4">
      <c r="A4" s="20" t="inlineStr">
        <is>
          <t>Development</t>
        </is>
      </c>
      <c r="B4" s="21" t="inlineStr">
        <is>
          <t>RHU portal</t>
        </is>
      </c>
      <c r="C4" s="21" t="inlineStr">
        <is>
          <t>Health workers create referrals and manage appointments</t>
        </is>
      </c>
      <c r="D4" s="22" t="inlineStr">
        <is>
          <t>lot</t>
        </is>
      </c>
      <c r="E4" s="22" t="n"/>
      <c r="F4" s="23" t="n"/>
      <c r="G4" s="22" t="n"/>
      <c r="H4" s="24">
        <f>IF(OR(E4="",F4=""),0,E4*F4*IF(G4="",1,G4))</f>
        <v/>
      </c>
      <c r="I4" s="22" t="inlineStr">
        <is>
          <t>Needed</t>
        </is>
      </c>
      <c r="J4" s="22" t="inlineStr">
        <is>
          <t>Minimum</t>
        </is>
      </c>
      <c r="K4" s="22" t="n"/>
      <c r="L4" s="25" t="n"/>
    </row>
    <row r="5">
      <c r="A5" s="20" t="inlineStr">
        <is>
          <t>Development</t>
        </is>
      </c>
      <c r="B5" s="21" t="inlineStr">
        <is>
          <t>Lab results module</t>
        </is>
      </c>
      <c r="C5" s="21" t="inlineStr">
        <is>
          <t>Lab uploads results; patient/RHU receives them (upload first, full LIS integration later)</t>
        </is>
      </c>
      <c r="D5" s="22" t="inlineStr">
        <is>
          <t>lot</t>
        </is>
      </c>
      <c r="E5" s="22" t="n"/>
      <c r="F5" s="23" t="n"/>
      <c r="G5" s="22" t="n"/>
      <c r="H5" s="24">
        <f>IF(OR(E5="",F5=""),0,E5*F5*IF(G5="",1,G5))</f>
        <v/>
      </c>
      <c r="I5" s="22" t="inlineStr">
        <is>
          <t>Needed</t>
        </is>
      </c>
      <c r="J5" s="22" t="inlineStr">
        <is>
          <t>Minimum</t>
        </is>
      </c>
      <c r="K5" s="22" t="n"/>
      <c r="L5" s="25" t="n"/>
    </row>
    <row r="6">
      <c r="A6" s="20" t="inlineStr">
        <is>
          <t>Development</t>
        </is>
      </c>
      <c r="B6" s="21" t="inlineStr">
        <is>
          <t>Full lab system (LIS) integration</t>
        </is>
      </c>
      <c r="C6" s="21" t="inlineStr">
        <is>
          <t>Automatic connection to the lab's existing system</t>
        </is>
      </c>
      <c r="D6" s="22" t="inlineStr">
        <is>
          <t>lot</t>
        </is>
      </c>
      <c r="E6" s="22" t="n"/>
      <c r="F6" s="23" t="n"/>
      <c r="G6" s="22" t="n"/>
      <c r="H6" s="24">
        <f>IF(OR(E6="",F6=""),0,E6*F6*IF(G6="",1,G6))</f>
        <v/>
      </c>
      <c r="I6" s="22" t="inlineStr">
        <is>
          <t>Needed</t>
        </is>
      </c>
      <c r="J6" s="22" t="inlineStr">
        <is>
          <t>Full</t>
        </is>
      </c>
      <c r="K6" s="22" t="n"/>
      <c r="L6" s="25" t="n"/>
    </row>
    <row r="7">
      <c r="A7" s="20" t="inlineStr">
        <is>
          <t>Development</t>
        </is>
      </c>
      <c r="B7" s="21" t="inlineStr">
        <is>
          <t>Admin dashboard</t>
        </is>
      </c>
      <c r="C7" s="21" t="inlineStr">
        <is>
          <t>User management, basic reports</t>
        </is>
      </c>
      <c r="D7" s="22" t="inlineStr">
        <is>
          <t>lot</t>
        </is>
      </c>
      <c r="E7" s="22" t="n"/>
      <c r="F7" s="23" t="n"/>
      <c r="G7" s="22" t="n"/>
      <c r="H7" s="24">
        <f>IF(OR(E7="",F7=""),0,E7*F7*IF(G7="",1,G7))</f>
        <v/>
      </c>
      <c r="I7" s="22" t="inlineStr">
        <is>
          <t>Needed</t>
        </is>
      </c>
      <c r="J7" s="22" t="inlineStr">
        <is>
          <t>Full</t>
        </is>
      </c>
      <c r="K7" s="22" t="n"/>
      <c r="L7" s="25" t="n"/>
    </row>
    <row r="8">
      <c r="A8" s="20" t="inlineStr">
        <is>
          <t>Development</t>
        </is>
      </c>
      <c r="B8" s="21" t="inlineStr">
        <is>
          <t>UI/UX design</t>
        </is>
      </c>
      <c r="C8" s="21" t="inlineStr">
        <is>
          <t>Wireframes, prototype, usability testing with RHU staff</t>
        </is>
      </c>
      <c r="D8" s="22" t="inlineStr">
        <is>
          <t>lot</t>
        </is>
      </c>
      <c r="E8" s="22" t="n"/>
      <c r="F8" s="23" t="n"/>
      <c r="G8" s="22" t="n"/>
      <c r="H8" s="24">
        <f>IF(OR(E8="",F8=""),0,E8*F8*IF(G8="",1,G8))</f>
        <v/>
      </c>
      <c r="I8" s="22" t="inlineStr">
        <is>
          <t>In-kind</t>
        </is>
      </c>
      <c r="J8" s="22" t="inlineStr">
        <is>
          <t>Minimum</t>
        </is>
      </c>
      <c r="K8" s="22" t="n"/>
      <c r="L8" s="25" t="n"/>
    </row>
    <row r="9">
      <c r="A9" s="18" t="inlineStr">
        <is>
          <t>Hosting &amp; infrastructure</t>
        </is>
      </c>
      <c r="B9" s="19" t="n"/>
      <c r="C9" s="19" t="n"/>
      <c r="D9" s="19" t="n"/>
      <c r="E9" s="19" t="n"/>
      <c r="F9" s="19" t="n"/>
      <c r="G9" s="19" t="n"/>
      <c r="H9" s="19" t="n"/>
      <c r="I9" s="19" t="n"/>
      <c r="J9" s="19" t="n"/>
      <c r="K9" s="19" t="n"/>
      <c r="L9" s="19" t="n"/>
    </row>
    <row r="10">
      <c r="A10" s="20" t="inlineStr">
        <is>
          <t>Hosting &amp; infrastructure</t>
        </is>
      </c>
      <c r="B10" s="21" t="inlineStr">
        <is>
          <t>Philippine-hosted cloud server</t>
        </is>
      </c>
      <c r="C10" s="21" t="inlineStr">
        <is>
          <t>App + database hosted in a PH data center (data stays in-country)</t>
        </is>
      </c>
      <c r="D10" s="22" t="inlineStr">
        <is>
          <t>month</t>
        </is>
      </c>
      <c r="E10" s="22" t="n"/>
      <c r="F10" s="23" t="n"/>
      <c r="G10" s="22" t="n">
        <v>12</v>
      </c>
      <c r="H10" s="24">
        <f>IF(OR(E10="",F10=""),0,E10*F10*IF(G10="",1,G10))</f>
        <v/>
      </c>
      <c r="I10" s="22" t="inlineStr">
        <is>
          <t>Needed</t>
        </is>
      </c>
      <c r="J10" s="22" t="inlineStr">
        <is>
          <t>Minimum</t>
        </is>
      </c>
      <c r="K10" s="22" t="n"/>
      <c r="L10" s="25" t="n"/>
    </row>
    <row r="11">
      <c r="A11" s="20" t="inlineStr">
        <is>
          <t>Hosting &amp; infrastructure</t>
        </is>
      </c>
      <c r="B11" s="21" t="inlineStr">
        <is>
          <t>Backups</t>
        </is>
      </c>
      <c r="C11" s="21" t="inlineStr">
        <is>
          <t>Daily encrypted backups</t>
        </is>
      </c>
      <c r="D11" s="22" t="inlineStr">
        <is>
          <t>month</t>
        </is>
      </c>
      <c r="E11" s="22" t="n"/>
      <c r="F11" s="23" t="n"/>
      <c r="G11" s="22" t="n">
        <v>12</v>
      </c>
      <c r="H11" s="24">
        <f>IF(OR(E11="",F11=""),0,E11*F11*IF(G11="",1,G11))</f>
        <v/>
      </c>
      <c r="I11" s="22" t="inlineStr">
        <is>
          <t>Needed</t>
        </is>
      </c>
      <c r="J11" s="22" t="inlineStr">
        <is>
          <t>Minimum</t>
        </is>
      </c>
      <c r="K11" s="22" t="n"/>
      <c r="L11" s="25" t="n"/>
    </row>
    <row r="12">
      <c r="A12" s="20" t="inlineStr">
        <is>
          <t>Hosting &amp; infrastructure</t>
        </is>
      </c>
      <c r="B12" s="21" t="inlineStr">
        <is>
          <t>Domain + SSL</t>
        </is>
      </c>
      <c r="C12" s="21" t="inlineStr">
        <is>
          <t>Web address and HTTPS certificate</t>
        </is>
      </c>
      <c r="D12" s="22" t="inlineStr">
        <is>
          <t>year</t>
        </is>
      </c>
      <c r="E12" s="22" t="n"/>
      <c r="F12" s="23" t="n"/>
      <c r="G12" s="22" t="n"/>
      <c r="H12" s="24">
        <f>IF(OR(E12="",F12=""),0,E12*F12*IF(G12="",1,G12))</f>
        <v/>
      </c>
      <c r="I12" s="22" t="inlineStr">
        <is>
          <t>Needed</t>
        </is>
      </c>
      <c r="J12" s="22" t="inlineStr">
        <is>
          <t>Minimum</t>
        </is>
      </c>
      <c r="K12" s="22" t="n"/>
      <c r="L12" s="25" t="n"/>
    </row>
    <row r="13">
      <c r="A13" s="20" t="inlineStr">
        <is>
          <t>Hosting &amp; infrastructure</t>
        </is>
      </c>
      <c r="B13" s="21" t="inlineStr">
        <is>
          <t>Staging / test environment</t>
        </is>
      </c>
      <c r="C13" s="21" t="inlineStr">
        <is>
          <t>Separate environment for testing before release</t>
        </is>
      </c>
      <c r="D13" s="22" t="inlineStr">
        <is>
          <t>month</t>
        </is>
      </c>
      <c r="E13" s="22" t="n"/>
      <c r="F13" s="23" t="n"/>
      <c r="G13" s="22" t="n">
        <v>12</v>
      </c>
      <c r="H13" s="24">
        <f>IF(OR(E13="",F13=""),0,E13*F13*IF(G13="",1,G13))</f>
        <v/>
      </c>
      <c r="I13" s="22" t="inlineStr">
        <is>
          <t>Needed</t>
        </is>
      </c>
      <c r="J13" s="22" t="inlineStr">
        <is>
          <t>Full</t>
        </is>
      </c>
      <c r="K13" s="22" t="n"/>
      <c r="L13" s="25" t="n"/>
    </row>
    <row r="14">
      <c r="A14" s="18" t="inlineStr">
        <is>
          <t>Services &amp; subscriptions</t>
        </is>
      </c>
      <c r="B14" s="19" t="n"/>
      <c r="C14" s="19" t="n"/>
      <c r="D14" s="19" t="n"/>
      <c r="E14" s="19" t="n"/>
      <c r="F14" s="19" t="n"/>
      <c r="G14" s="19" t="n"/>
      <c r="H14" s="19" t="n"/>
      <c r="I14" s="19" t="n"/>
      <c r="J14" s="19" t="n"/>
      <c r="K14" s="19" t="n"/>
      <c r="L14" s="19" t="n"/>
    </row>
    <row r="15">
      <c r="A15" s="20" t="inlineStr">
        <is>
          <t>Services &amp; subscriptions</t>
        </is>
      </c>
      <c r="B15" s="21" t="inlineStr">
        <is>
          <t>SMS gateway</t>
        </is>
      </c>
      <c r="C15" s="21" t="inlineStr">
        <is>
          <t>Appointment reminders and result alerts (Qty = number of messages)</t>
        </is>
      </c>
      <c r="D15" s="22" t="inlineStr">
        <is>
          <t>message</t>
        </is>
      </c>
      <c r="E15" s="22" t="n"/>
      <c r="F15" s="23" t="n"/>
      <c r="G15" s="22" t="n"/>
      <c r="H15" s="24">
        <f>IF(OR(E15="",F15=""),0,E15*F15*IF(G15="",1,G15))</f>
        <v/>
      </c>
      <c r="I15" s="22" t="inlineStr">
        <is>
          <t>Needed</t>
        </is>
      </c>
      <c r="J15" s="22" t="inlineStr">
        <is>
          <t>Minimum</t>
        </is>
      </c>
      <c r="K15" s="22" t="n"/>
      <c r="L15" s="25" t="n"/>
    </row>
    <row r="16">
      <c r="A16" s="20" t="inlineStr">
        <is>
          <t>Services &amp; subscriptions</t>
        </is>
      </c>
      <c r="B16" s="21" t="inlineStr">
        <is>
          <t>Email service</t>
        </is>
      </c>
      <c r="C16" s="21" t="inlineStr">
        <is>
          <t>Account and notification emails</t>
        </is>
      </c>
      <c r="D16" s="22" t="inlineStr">
        <is>
          <t>month</t>
        </is>
      </c>
      <c r="E16" s="22" t="n"/>
      <c r="F16" s="23" t="n"/>
      <c r="G16" s="22" t="n">
        <v>12</v>
      </c>
      <c r="H16" s="24">
        <f>IF(OR(E16="",F16=""),0,E16*F16*IF(G16="",1,G16))</f>
        <v/>
      </c>
      <c r="I16" s="22" t="inlineStr">
        <is>
          <t>Later</t>
        </is>
      </c>
      <c r="J16" s="22" t="inlineStr">
        <is>
          <t>Full</t>
        </is>
      </c>
      <c r="K16" s="22" t="n"/>
      <c r="L16" s="25" t="n"/>
    </row>
    <row r="17">
      <c r="A17" s="20" t="inlineStr">
        <is>
          <t>Services &amp; subscriptions</t>
        </is>
      </c>
      <c r="B17" s="21" t="inlineStr">
        <is>
          <t>Google Play developer account</t>
        </is>
      </c>
      <c r="C17" s="21" t="inlineStr">
        <is>
          <t>Publish Android app (one-time fee)</t>
        </is>
      </c>
      <c r="D17" s="22" t="inlineStr">
        <is>
          <t>account</t>
        </is>
      </c>
      <c r="E17" s="22" t="n"/>
      <c r="F17" s="23" t="n"/>
      <c r="G17" s="22" t="n"/>
      <c r="H17" s="24">
        <f>IF(OR(E17="",F17=""),0,E17*F17*IF(G17="",1,G17))</f>
        <v/>
      </c>
      <c r="I17" s="22" t="inlineStr">
        <is>
          <t>Needed</t>
        </is>
      </c>
      <c r="J17" s="22" t="inlineStr">
        <is>
          <t>Minimum</t>
        </is>
      </c>
      <c r="K17" s="22" t="n"/>
      <c r="L17" s="25" t="n"/>
    </row>
    <row r="18">
      <c r="A18" s="20" t="inlineStr">
        <is>
          <t>Services &amp; subscriptions</t>
        </is>
      </c>
      <c r="B18" s="21" t="inlineStr">
        <is>
          <t>Apple developer account</t>
        </is>
      </c>
      <c r="C18" s="21" t="inlineStr">
        <is>
          <t>Publish iOS app (yearly fee)</t>
        </is>
      </c>
      <c r="D18" s="22" t="inlineStr">
        <is>
          <t>year</t>
        </is>
      </c>
      <c r="E18" s="22" t="n"/>
      <c r="F18" s="23" t="n"/>
      <c r="G18" s="22" t="n"/>
      <c r="H18" s="24">
        <f>IF(OR(E18="",F18=""),0,E18*F18*IF(G18="",1,G18))</f>
        <v/>
      </c>
      <c r="I18" s="22" t="inlineStr">
        <is>
          <t>Later</t>
        </is>
      </c>
      <c r="J18" s="22" t="inlineStr">
        <is>
          <t>Full</t>
        </is>
      </c>
      <c r="K18" s="22" t="n"/>
      <c r="L18" s="25" t="n"/>
    </row>
    <row r="19">
      <c r="A19" s="18" t="inlineStr">
        <is>
          <t>Security</t>
        </is>
      </c>
      <c r="B19" s="19" t="n"/>
      <c r="C19" s="19" t="n"/>
      <c r="D19" s="19" t="n"/>
      <c r="E19" s="19" t="n"/>
      <c r="F19" s="19" t="n"/>
      <c r="G19" s="19" t="n"/>
      <c r="H19" s="19" t="n"/>
      <c r="I19" s="19" t="n"/>
      <c r="J19" s="19" t="n"/>
      <c r="K19" s="19" t="n"/>
      <c r="L19" s="19" t="n"/>
    </row>
    <row r="20">
      <c r="A20" s="20" t="inlineStr">
        <is>
          <t>Security</t>
        </is>
      </c>
      <c r="B20" s="21" t="inlineStr">
        <is>
          <t>Basic vulnerability scan</t>
        </is>
      </c>
      <c r="C20" s="21" t="inlineStr">
        <is>
          <t>Check for common security issues before real patient data goes in</t>
        </is>
      </c>
      <c r="D20" s="22" t="inlineStr">
        <is>
          <t>lot</t>
        </is>
      </c>
      <c r="E20" s="22" t="n"/>
      <c r="F20" s="23" t="n"/>
      <c r="G20" s="22" t="n"/>
      <c r="H20" s="24">
        <f>IF(OR(E20="",F20=""),0,E20*F20*IF(G20="",1,G20))</f>
        <v/>
      </c>
      <c r="I20" s="22" t="inlineStr">
        <is>
          <t>Needed</t>
        </is>
      </c>
      <c r="J20" s="22" t="inlineStr">
        <is>
          <t>Minimum</t>
        </is>
      </c>
      <c r="K20" s="22" t="n"/>
      <c r="L20" s="25" t="n"/>
    </row>
    <row r="21">
      <c r="A21" s="20" t="inlineStr">
        <is>
          <t>Security</t>
        </is>
      </c>
      <c r="B21" s="21" t="inlineStr">
        <is>
          <t>Penetration test</t>
        </is>
      </c>
      <c r="C21" s="21" t="inlineStr">
        <is>
          <t>Professional security test</t>
        </is>
      </c>
      <c r="D21" s="22" t="inlineStr">
        <is>
          <t>lot</t>
        </is>
      </c>
      <c r="E21" s="22" t="n"/>
      <c r="F21" s="23" t="n"/>
      <c r="G21" s="22" t="n"/>
      <c r="H21" s="24">
        <f>IF(OR(E21="",F21=""),0,E21*F21*IF(G21="",1,G21))</f>
        <v/>
      </c>
      <c r="I21" s="22" t="inlineStr">
        <is>
          <t>Later</t>
        </is>
      </c>
      <c r="J21" s="22" t="inlineStr">
        <is>
          <t>Full</t>
        </is>
      </c>
      <c r="K21" s="22" t="n"/>
      <c r="L21" s="25" t="n"/>
    </row>
    <row r="22">
      <c r="A22" s="18" t="inlineStr">
        <is>
          <t>Legal &amp; privacy</t>
        </is>
      </c>
      <c r="B22" s="19" t="n"/>
      <c r="C22" s="19" t="n"/>
      <c r="D22" s="19" t="n"/>
      <c r="E22" s="19" t="n"/>
      <c r="F22" s="19" t="n"/>
      <c r="G22" s="19" t="n"/>
      <c r="H22" s="19" t="n"/>
      <c r="I22" s="19" t="n"/>
      <c r="J22" s="19" t="n"/>
      <c r="K22" s="19" t="n"/>
      <c r="L22" s="19" t="n"/>
    </row>
    <row r="23">
      <c r="A23" s="20" t="inlineStr">
        <is>
          <t>Legal &amp; privacy</t>
        </is>
      </c>
      <c r="B23" s="21" t="inlineStr">
        <is>
          <t>Privacy Impact Assessment</t>
        </is>
      </c>
      <c r="C23" s="21" t="inlineStr">
        <is>
          <t>Review of how patient data is collected, stored and shared</t>
        </is>
      </c>
      <c r="D23" s="22" t="inlineStr">
        <is>
          <t>lot</t>
        </is>
      </c>
      <c r="E23" s="22" t="n"/>
      <c r="F23" s="23" t="n"/>
      <c r="G23" s="22" t="n"/>
      <c r="H23" s="24">
        <f>IF(OR(E23="",F23=""),0,E23*F23*IF(G23="",1,G23))</f>
        <v/>
      </c>
      <c r="I23" s="22" t="inlineStr">
        <is>
          <t>Needed</t>
        </is>
      </c>
      <c r="J23" s="22" t="inlineStr">
        <is>
          <t>Minimum</t>
        </is>
      </c>
      <c r="K23" s="22" t="n"/>
      <c r="L23" s="25" t="n"/>
    </row>
    <row r="24">
      <c r="A24" s="20" t="inlineStr">
        <is>
          <t>Legal &amp; privacy</t>
        </is>
      </c>
      <c r="B24" s="21" t="inlineStr">
        <is>
          <t>Data-sharing agreements</t>
        </is>
      </c>
      <c r="C24" s="21" t="inlineStr">
        <is>
          <t>With each RHU/clinic and the partner lab</t>
        </is>
      </c>
      <c r="D24" s="22" t="inlineStr">
        <is>
          <t>agreement</t>
        </is>
      </c>
      <c r="E24" s="22" t="n"/>
      <c r="F24" s="23" t="n"/>
      <c r="G24" s="22" t="n"/>
      <c r="H24" s="24">
        <f>IF(OR(E24="",F24=""),0,E24*F24*IF(G24="",1,G24))</f>
        <v/>
      </c>
      <c r="I24" s="22" t="inlineStr">
        <is>
          <t>Needed</t>
        </is>
      </c>
      <c r="J24" s="22" t="inlineStr">
        <is>
          <t>Minimum</t>
        </is>
      </c>
      <c r="K24" s="22" t="n"/>
      <c r="L24" s="25" t="n"/>
    </row>
    <row r="25">
      <c r="A25" s="20" t="inlineStr">
        <is>
          <t>Legal &amp; privacy</t>
        </is>
      </c>
      <c r="B25" s="21" t="inlineStr">
        <is>
          <t>Privacy policy, terms, consent forms</t>
        </is>
      </c>
      <c r="C25" s="21" t="inlineStr">
        <is>
          <t>Patient-facing documents</t>
        </is>
      </c>
      <c r="D25" s="22" t="inlineStr">
        <is>
          <t>lot</t>
        </is>
      </c>
      <c r="E25" s="22" t="n"/>
      <c r="F25" s="23" t="n"/>
      <c r="G25" s="22" t="n"/>
      <c r="H25" s="24">
        <f>IF(OR(E25="",F25=""),0,E25*F25*IF(G25="",1,G25))</f>
        <v/>
      </c>
      <c r="I25" s="22" t="inlineStr">
        <is>
          <t>Needed</t>
        </is>
      </c>
      <c r="J25" s="22" t="inlineStr">
        <is>
          <t>Minimum</t>
        </is>
      </c>
      <c r="K25" s="22" t="n"/>
      <c r="L25" s="25" t="n"/>
    </row>
    <row r="26">
      <c r="A26" s="20" t="inlineStr">
        <is>
          <t>Legal &amp; privacy</t>
        </is>
      </c>
      <c r="B26" s="21" t="inlineStr">
        <is>
          <t>NPC registration / DPO setup</t>
        </is>
      </c>
      <c r="C26" s="21" t="inlineStr">
        <is>
          <t>Register with National Privacy Commission; designate a Data Protection Officer</t>
        </is>
      </c>
      <c r="D26" s="22" t="inlineStr">
        <is>
          <t>lot</t>
        </is>
      </c>
      <c r="E26" s="22" t="n"/>
      <c r="F26" s="23" t="n"/>
      <c r="G26" s="22" t="n"/>
      <c r="H26" s="24">
        <f>IF(OR(E26="",F26=""),0,E26*F26*IF(G26="",1,G26))</f>
        <v/>
      </c>
      <c r="I26" s="22" t="inlineStr">
        <is>
          <t>Needed</t>
        </is>
      </c>
      <c r="J26" s="22" t="inlineStr">
        <is>
          <t>Minimum</t>
        </is>
      </c>
      <c r="K26" s="22" t="n"/>
      <c r="L26" s="25" t="n"/>
    </row>
    <row r="27">
      <c r="A27" s="20" t="inlineStr">
        <is>
          <t>Legal &amp; privacy</t>
        </is>
      </c>
      <c r="B27" s="21" t="inlineStr">
        <is>
          <t>Legal review</t>
        </is>
      </c>
      <c r="C27" s="21" t="inlineStr">
        <is>
          <t>Lawyer review of agreements and policies</t>
        </is>
      </c>
      <c r="D27" s="22" t="inlineStr">
        <is>
          <t>lot</t>
        </is>
      </c>
      <c r="E27" s="22" t="n"/>
      <c r="F27" s="23" t="n"/>
      <c r="G27" s="22" t="n"/>
      <c r="H27" s="24">
        <f>IF(OR(E27="",F27=""),0,E27*F27*IF(G27="",1,G27))</f>
        <v/>
      </c>
      <c r="I27" s="22" t="inlineStr">
        <is>
          <t>Needed</t>
        </is>
      </c>
      <c r="J27" s="22" t="inlineStr">
        <is>
          <t>Minimum</t>
        </is>
      </c>
      <c r="K27" s="22" t="n"/>
      <c r="L27" s="25" t="n"/>
    </row>
    <row r="28">
      <c r="A28" s="18" t="inlineStr">
        <is>
          <t>Pilot operations (Bohol)</t>
        </is>
      </c>
      <c r="B28" s="19" t="n"/>
      <c r="C28" s="19" t="n"/>
      <c r="D28" s="19" t="n"/>
      <c r="E28" s="19" t="n"/>
      <c r="F28" s="19" t="n"/>
      <c r="G28" s="19" t="n"/>
      <c r="H28" s="19" t="n"/>
      <c r="I28" s="19" t="n"/>
      <c r="J28" s="19" t="n"/>
      <c r="K28" s="19" t="n"/>
      <c r="L28" s="19" t="n"/>
    </row>
    <row r="29">
      <c r="A29" s="26" t="inlineStr">
        <is>
          <t>Pilot operations (Bohol)</t>
        </is>
      </c>
      <c r="B29" s="27" t="inlineStr">
        <is>
          <t>Travel to pilot sites</t>
        </is>
      </c>
      <c r="C29" s="27" t="inlineStr">
        <is>
          <t>Fare, lodging, meals per site visit</t>
        </is>
      </c>
      <c r="D29" s="28" t="inlineStr">
        <is>
          <t>trip</t>
        </is>
      </c>
      <c r="E29" s="28" t="n">
        <v>4</v>
      </c>
      <c r="F29" s="29" t="n">
        <v>3500</v>
      </c>
      <c r="G29" s="28" t="n"/>
      <c r="H29" s="30">
        <f>IF(OR(E29="",F29=""),0,E29*F29*IF(G29="",1,G29))</f>
        <v/>
      </c>
      <c r="I29" s="28" t="inlineStr">
        <is>
          <t>Needed</t>
        </is>
      </c>
      <c r="J29" s="28" t="inlineStr">
        <is>
          <t>Minimum</t>
        </is>
      </c>
      <c r="K29" s="28" t="inlineStr">
        <is>
          <t>EXAMPLE ONLY - replace with your real fare/lodging estimate</t>
        </is>
      </c>
      <c r="L29" s="28" t="inlineStr">
        <is>
          <t>e.g., 2 sites x 2 visits</t>
        </is>
      </c>
    </row>
    <row r="30">
      <c r="A30" s="20" t="inlineStr">
        <is>
          <t>Pilot operations (Bohol)</t>
        </is>
      </c>
      <c r="B30" s="21" t="inlineStr">
        <is>
          <t>Staff training sessions</t>
        </is>
      </c>
      <c r="C30" s="21" t="inlineStr">
        <is>
          <t>Training for RHU and lab staff (venue, snacks)</t>
        </is>
      </c>
      <c r="D30" s="22" t="inlineStr">
        <is>
          <t>session</t>
        </is>
      </c>
      <c r="E30" s="22" t="n"/>
      <c r="F30" s="23" t="n"/>
      <c r="G30" s="22" t="n"/>
      <c r="H30" s="24">
        <f>IF(OR(E30="",F30=""),0,E30*F30*IF(G30="",1,G30))</f>
        <v/>
      </c>
      <c r="I30" s="22" t="inlineStr">
        <is>
          <t>Needed</t>
        </is>
      </c>
      <c r="J30" s="22" t="inlineStr">
        <is>
          <t>Minimum</t>
        </is>
      </c>
      <c r="K30" s="22" t="n"/>
      <c r="L30" s="25" t="n"/>
    </row>
    <row r="31">
      <c r="A31" s="20" t="inlineStr">
        <is>
          <t>Pilot operations (Bohol)</t>
        </is>
      </c>
      <c r="B31" s="21" t="inlineStr">
        <is>
          <t>Training materials</t>
        </is>
      </c>
      <c r="C31" s="21" t="inlineStr">
        <is>
          <t>Manuals, quick-reference cards, videos</t>
        </is>
      </c>
      <c r="D31" s="22" t="inlineStr">
        <is>
          <t>lot</t>
        </is>
      </c>
      <c r="E31" s="22" t="n"/>
      <c r="F31" s="23" t="n"/>
      <c r="G31" s="22" t="n"/>
      <c r="H31" s="24">
        <f>IF(OR(E31="",F31=""),0,E31*F31*IF(G31="",1,G31))</f>
        <v/>
      </c>
      <c r="I31" s="22" t="inlineStr">
        <is>
          <t>Needed</t>
        </is>
      </c>
      <c r="J31" s="22" t="inlineStr">
        <is>
          <t>Minimum</t>
        </is>
      </c>
      <c r="K31" s="22" t="n"/>
      <c r="L31" s="25" t="n"/>
    </row>
    <row r="32">
      <c r="A32" s="20" t="inlineStr">
        <is>
          <t>Pilot operations (Bohol)</t>
        </is>
      </c>
      <c r="B32" s="21" t="inlineStr">
        <is>
          <t>Patient materials</t>
        </is>
      </c>
      <c r="C32" s="21" t="inlineStr">
        <is>
          <t>Posters, flyers, printed consent forms</t>
        </is>
      </c>
      <c r="D32" s="22" t="inlineStr">
        <is>
          <t>lot</t>
        </is>
      </c>
      <c r="E32" s="22" t="n"/>
      <c r="F32" s="23" t="n"/>
      <c r="G32" s="22" t="n"/>
      <c r="H32" s="24">
        <f>IF(OR(E32="",F32=""),0,E32*F32*IF(G32="",1,G32))</f>
        <v/>
      </c>
      <c r="I32" s="22" t="inlineStr">
        <is>
          <t>Needed</t>
        </is>
      </c>
      <c r="J32" s="22" t="inlineStr">
        <is>
          <t>Minimum</t>
        </is>
      </c>
      <c r="K32" s="22" t="n"/>
      <c r="L32" s="25" t="n"/>
    </row>
    <row r="33">
      <c r="A33" s="20" t="inlineStr">
        <is>
          <t>Pilot operations (Bohol)</t>
        </is>
      </c>
      <c r="B33" s="21" t="inlineStr">
        <is>
          <t>Connectivity allowance</t>
        </is>
      </c>
      <c r="C33" s="21" t="inlineStr">
        <is>
          <t>Load/data for health workers during the pilot</t>
        </is>
      </c>
      <c r="D33" s="22" t="inlineStr">
        <is>
          <t>month</t>
        </is>
      </c>
      <c r="E33" s="22" t="n"/>
      <c r="F33" s="23" t="n"/>
      <c r="G33" s="22" t="n"/>
      <c r="H33" s="24">
        <f>IF(OR(E33="",F33=""),0,E33*F33*IF(G33="",1,G33))</f>
        <v/>
      </c>
      <c r="I33" s="22" t="inlineStr">
        <is>
          <t>Needed</t>
        </is>
      </c>
      <c r="J33" s="22" t="inlineStr">
        <is>
          <t>Full</t>
        </is>
      </c>
      <c r="K33" s="22" t="n"/>
      <c r="L33" s="25" t="n"/>
    </row>
    <row r="34">
      <c r="A34" s="20" t="inlineStr">
        <is>
          <t>Pilot operations (Bohol)</t>
        </is>
      </c>
      <c r="B34" s="21" t="inlineStr">
        <is>
          <t>Devices for sites</t>
        </is>
      </c>
      <c r="C34" s="21" t="inlineStr">
        <is>
          <t>Tablets/phones only if sites lack them (check that the grant allows equipment)</t>
        </is>
      </c>
      <c r="D34" s="22" t="inlineStr">
        <is>
          <t>unit</t>
        </is>
      </c>
      <c r="E34" s="22" t="n"/>
      <c r="F34" s="23" t="n"/>
      <c r="G34" s="22" t="n"/>
      <c r="H34" s="24">
        <f>IF(OR(E34="",F34=""),0,E34*F34*IF(G34="",1,G34))</f>
        <v/>
      </c>
      <c r="I34" s="22" t="inlineStr">
        <is>
          <t>Later</t>
        </is>
      </c>
      <c r="J34" s="22" t="inlineStr">
        <is>
          <t>Full</t>
        </is>
      </c>
      <c r="K34" s="22" t="n"/>
      <c r="L34" s="25" t="n"/>
    </row>
    <row r="35">
      <c r="A35" s="18" t="inlineStr">
        <is>
          <t>Support &amp; maintenance</t>
        </is>
      </c>
      <c r="B35" s="19" t="n"/>
      <c r="C35" s="19" t="n"/>
      <c r="D35" s="19" t="n"/>
      <c r="E35" s="19" t="n"/>
      <c r="F35" s="19" t="n"/>
      <c r="G35" s="19" t="n"/>
      <c r="H35" s="19" t="n"/>
      <c r="I35" s="19" t="n"/>
      <c r="J35" s="19" t="n"/>
      <c r="K35" s="19" t="n"/>
      <c r="L35" s="19" t="n"/>
    </row>
    <row r="36">
      <c r="A36" s="20" t="inlineStr">
        <is>
          <t>Support &amp; maintenance</t>
        </is>
      </c>
      <c r="B36" s="21" t="inlineStr">
        <is>
          <t>Bug fixes &amp; helpdesk during pilot</t>
        </is>
      </c>
      <c r="C36" s="21" t="inlineStr">
        <is>
          <t>Fixing issues and answering RHU staff questions after launch</t>
        </is>
      </c>
      <c r="D36" s="22" t="inlineStr">
        <is>
          <t>month</t>
        </is>
      </c>
      <c r="E36" s="22" t="n"/>
      <c r="F36" s="23" t="n"/>
      <c r="G36" s="22" t="n"/>
      <c r="H36" s="24">
        <f>IF(OR(E36="",F36=""),0,E36*F36*IF(G36="",1,G36))</f>
        <v/>
      </c>
      <c r="I36" s="22" t="inlineStr">
        <is>
          <t>Needed</t>
        </is>
      </c>
      <c r="J36" s="22" t="inlineStr">
        <is>
          <t>Minimum</t>
        </is>
      </c>
      <c r="K36" s="22" t="n"/>
      <c r="L36" s="25" t="n"/>
    </row>
    <row r="37">
      <c r="A37" s="18" t="inlineStr">
        <is>
          <t>Monitoring &amp; evaluation</t>
        </is>
      </c>
      <c r="B37" s="19" t="n"/>
      <c r="C37" s="19" t="n"/>
      <c r="D37" s="19" t="n"/>
      <c r="E37" s="19" t="n"/>
      <c r="F37" s="19" t="n"/>
      <c r="G37" s="19" t="n"/>
      <c r="H37" s="19" t="n"/>
      <c r="I37" s="19" t="n"/>
      <c r="J37" s="19" t="n"/>
      <c r="K37" s="19" t="n"/>
      <c r="L37" s="19" t="n"/>
    </row>
    <row r="38">
      <c r="A38" s="20" t="inlineStr">
        <is>
          <t>Monitoring &amp; evaluation</t>
        </is>
      </c>
      <c r="B38" s="21" t="inlineStr">
        <is>
          <t>Baseline + pilot data collection</t>
        </is>
      </c>
      <c r="C38" s="21" t="inlineStr">
        <is>
          <t>Measure referral/result turnaround before and during the pilot</t>
        </is>
      </c>
      <c r="D38" s="22" t="inlineStr">
        <is>
          <t>lot</t>
        </is>
      </c>
      <c r="E38" s="22" t="n"/>
      <c r="F38" s="23" t="n"/>
      <c r="G38" s="22" t="n"/>
      <c r="H38" s="24">
        <f>IF(OR(E38="",F38=""),0,E38*F38*IF(G38="",1,G38))</f>
        <v/>
      </c>
      <c r="I38" s="22" t="inlineStr">
        <is>
          <t>In-kind</t>
        </is>
      </c>
      <c r="J38" s="22" t="inlineStr">
        <is>
          <t>Minimum</t>
        </is>
      </c>
      <c r="K38" s="22" t="n"/>
      <c r="L38" s="25" t="n"/>
    </row>
    <row r="39">
      <c r="A39" s="20" t="inlineStr">
        <is>
          <t>Monitoring &amp; evaluation</t>
        </is>
      </c>
      <c r="B39" s="21" t="inlineStr">
        <is>
          <t>Surveys &amp; final pilot report</t>
        </is>
      </c>
      <c r="C39" s="21" t="inlineStr">
        <is>
          <t>User feedback and results report</t>
        </is>
      </c>
      <c r="D39" s="22" t="inlineStr">
        <is>
          <t>lot</t>
        </is>
      </c>
      <c r="E39" s="22" t="n"/>
      <c r="F39" s="23" t="n"/>
      <c r="G39" s="22" t="n"/>
      <c r="H39" s="24">
        <f>IF(OR(E39="",F39=""),0,E39*F39*IF(G39="",1,G39))</f>
        <v/>
      </c>
      <c r="I39" s="22" t="inlineStr">
        <is>
          <t>In-kind</t>
        </is>
      </c>
      <c r="J39" s="22" t="inlineStr">
        <is>
          <t>Minimum</t>
        </is>
      </c>
      <c r="K39" s="22" t="n"/>
      <c r="L39" s="25" t="n"/>
    </row>
    <row r="40">
      <c r="A40" s="18" t="inlineStr">
        <is>
          <t>Other (add your own)</t>
        </is>
      </c>
      <c r="B40" s="19" t="n"/>
      <c r="C40" s="19" t="n"/>
      <c r="D40" s="19" t="n"/>
      <c r="E40" s="19" t="n"/>
      <c r="F40" s="19" t="n"/>
      <c r="G40" s="19" t="n"/>
      <c r="H40" s="19" t="n"/>
      <c r="I40" s="19" t="n"/>
      <c r="J40" s="19" t="n"/>
      <c r="K40" s="19" t="n"/>
      <c r="L40" s="19" t="n"/>
    </row>
    <row r="41">
      <c r="A41" s="31" t="inlineStr">
        <is>
          <t>Other (add your own)</t>
        </is>
      </c>
      <c r="B41" s="31" t="n"/>
      <c r="C41" s="31" t="n"/>
      <c r="D41" s="31" t="n"/>
      <c r="E41" s="31" t="n"/>
      <c r="F41" s="32" t="n"/>
      <c r="G41" s="31" t="n"/>
      <c r="H41" s="13">
        <f>IF(OR(E41="",F41=""),0,E41*F41*IF(G41="",1,G41))</f>
        <v/>
      </c>
      <c r="I41" s="31" t="inlineStr">
        <is>
          <t>Needed</t>
        </is>
      </c>
      <c r="J41" s="31" t="inlineStr">
        <is>
          <t>Minimum</t>
        </is>
      </c>
      <c r="K41" s="31" t="n"/>
      <c r="L41" s="33" t="n"/>
    </row>
    <row r="42">
      <c r="A42" s="31" t="inlineStr">
        <is>
          <t>Other (add your own)</t>
        </is>
      </c>
      <c r="B42" s="31" t="n"/>
      <c r="C42" s="31" t="n"/>
      <c r="D42" s="31" t="n"/>
      <c r="E42" s="31" t="n"/>
      <c r="F42" s="32" t="n"/>
      <c r="G42" s="31" t="n"/>
      <c r="H42" s="13">
        <f>IF(OR(E42="",F42=""),0,E42*F42*IF(G42="",1,G42))</f>
        <v/>
      </c>
      <c r="I42" s="31" t="inlineStr">
        <is>
          <t>Needed</t>
        </is>
      </c>
      <c r="J42" s="31" t="inlineStr">
        <is>
          <t>Minimum</t>
        </is>
      </c>
      <c r="K42" s="31" t="n"/>
      <c r="L42" s="33" t="n"/>
    </row>
    <row r="43">
      <c r="A43" s="31" t="inlineStr">
        <is>
          <t>Other (add your own)</t>
        </is>
      </c>
      <c r="B43" s="31" t="n"/>
      <c r="C43" s="31" t="n"/>
      <c r="D43" s="31" t="n"/>
      <c r="E43" s="31" t="n"/>
      <c r="F43" s="32" t="n"/>
      <c r="G43" s="31" t="n"/>
      <c r="H43" s="13">
        <f>IF(OR(E43="",F43=""),0,E43*F43*IF(G43="",1,G43))</f>
        <v/>
      </c>
      <c r="I43" s="31" t="inlineStr">
        <is>
          <t>Needed</t>
        </is>
      </c>
      <c r="J43" s="31" t="inlineStr">
        <is>
          <t>Minimum</t>
        </is>
      </c>
      <c r="K43" s="31" t="n"/>
      <c r="L43" s="33" t="n"/>
    </row>
    <row r="44">
      <c r="A44" s="31" t="inlineStr">
        <is>
          <t>Other (add your own)</t>
        </is>
      </c>
      <c r="B44" s="31" t="n"/>
      <c r="C44" s="31" t="n"/>
      <c r="D44" s="31" t="n"/>
      <c r="E44" s="31" t="n"/>
      <c r="F44" s="32" t="n"/>
      <c r="G44" s="31" t="n"/>
      <c r="H44" s="13">
        <f>IF(OR(E44="",F44=""),0,E44*F44*IF(G44="",1,G44))</f>
        <v/>
      </c>
      <c r="I44" s="31" t="inlineStr">
        <is>
          <t>Needed</t>
        </is>
      </c>
      <c r="J44" s="31" t="inlineStr">
        <is>
          <t>Minimum</t>
        </is>
      </c>
      <c r="K44" s="31" t="n"/>
      <c r="L44" s="33" t="n"/>
    </row>
    <row r="45">
      <c r="A45" s="31" t="inlineStr">
        <is>
          <t>Other (add your own)</t>
        </is>
      </c>
      <c r="B45" s="31" t="n"/>
      <c r="C45" s="31" t="n"/>
      <c r="D45" s="31" t="n"/>
      <c r="E45" s="31" t="n"/>
      <c r="F45" s="32" t="n"/>
      <c r="G45" s="31" t="n"/>
      <c r="H45" s="13">
        <f>IF(OR(E45="",F45=""),0,E45*F45*IF(G45="",1,G45))</f>
        <v/>
      </c>
      <c r="I45" s="31" t="inlineStr">
        <is>
          <t>Needed</t>
        </is>
      </c>
      <c r="J45" s="31" t="inlineStr">
        <is>
          <t>Minimum</t>
        </is>
      </c>
      <c r="K45" s="31" t="n"/>
      <c r="L45" s="33" t="n"/>
    </row>
    <row r="46">
      <c r="A46" s="31" t="inlineStr">
        <is>
          <t>Other (add your own)</t>
        </is>
      </c>
      <c r="B46" s="31" t="n"/>
      <c r="C46" s="31" t="n"/>
      <c r="D46" s="31" t="n"/>
      <c r="E46" s="31" t="n"/>
      <c r="F46" s="32" t="n"/>
      <c r="G46" s="31" t="n"/>
      <c r="H46" s="13">
        <f>IF(OR(E46="",F46=""),0,E46*F46*IF(G46="",1,G46))</f>
        <v/>
      </c>
      <c r="I46" s="31" t="inlineStr">
        <is>
          <t>Needed</t>
        </is>
      </c>
      <c r="J46" s="31" t="inlineStr">
        <is>
          <t>Minimum</t>
        </is>
      </c>
      <c r="K46" s="31" t="n"/>
      <c r="L46" s="33" t="n"/>
    </row>
    <row r="47">
      <c r="A47" s="31" t="inlineStr">
        <is>
          <t>Other (add your own)</t>
        </is>
      </c>
      <c r="B47" s="31" t="n"/>
      <c r="C47" s="31" t="n"/>
      <c r="D47" s="31" t="n"/>
      <c r="E47" s="31" t="n"/>
      <c r="F47" s="32" t="n"/>
      <c r="G47" s="31" t="n"/>
      <c r="H47" s="13">
        <f>IF(OR(E47="",F47=""),0,E47*F47*IF(G47="",1,G47))</f>
        <v/>
      </c>
      <c r="I47" s="31" t="inlineStr">
        <is>
          <t>Needed</t>
        </is>
      </c>
      <c r="J47" s="31" t="inlineStr">
        <is>
          <t>Minimum</t>
        </is>
      </c>
      <c r="K47" s="31" t="n"/>
      <c r="L47" s="33" t="n"/>
    </row>
    <row r="48">
      <c r="A48" s="31" t="inlineStr">
        <is>
          <t>Other (add your own)</t>
        </is>
      </c>
      <c r="B48" s="31" t="n"/>
      <c r="C48" s="31" t="n"/>
      <c r="D48" s="31" t="n"/>
      <c r="E48" s="31" t="n"/>
      <c r="F48" s="32" t="n"/>
      <c r="G48" s="31" t="n"/>
      <c r="H48" s="13">
        <f>IF(OR(E48="",F48=""),0,E48*F48*IF(G48="",1,G48))</f>
        <v/>
      </c>
      <c r="I48" s="31" t="inlineStr">
        <is>
          <t>Needed</t>
        </is>
      </c>
      <c r="J48" s="31" t="inlineStr">
        <is>
          <t>Minimum</t>
        </is>
      </c>
      <c r="K48" s="31" t="n"/>
      <c r="L48" s="33" t="n"/>
    </row>
  </sheetData>
  <dataValidations count="2">
    <dataValidation sqref="I3 I4 I5 I6 I7 I8 I10 I11 I12 I13 I15 I16 I17 I18 I20 I21 I23 I24 I25 I26 I27 I29 I30 I31 I32 I33 I34 I36 I38 I39 I41 I42 I43 I44 I45 I46 I47 I48" showDropDown="0" showInputMessage="0" showErrorMessage="0" allowBlank="1" type="list">
      <formula1>"Needed,Later,In-kind,Not needed"</formula1>
    </dataValidation>
    <dataValidation sqref="J3 J4 J5 J6 J7 J8 J10 J11 J12 J13 J15 J16 J17 J18 J20 J21 J23 J24 J25 J26 J27 J29 J30 J31 J32 J33 J34 J36 J38 J39 J41 J42 J43 J44 J45 J46 J47 J48" showDropDown="0" showInputMessage="0" showErrorMessage="0" allowBlank="1" type="list">
      <formula1>"Minimum,Full"</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2026-10-05T10:00:52Z</dcterms:created>
  <dcterms:modified xmlns:dcterms="http://purl.org/dc/terms/" xmlns:xsi="http://www.w3.org/2001/XMLSchema-instance" xsi:type="dcterms:W3CDTF">2026-10-05T10:00:52Z</dcterms:modified>
</cp:coreProperties>
</file>